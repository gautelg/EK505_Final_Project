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piga\Desktop\EK505_Final_Project\Report_Presentation\"/>
    </mc:Choice>
  </mc:AlternateContent>
  <xr:revisionPtr revIDLastSave="0" documentId="13_ncr:1_{B987EC2B-490E-4216-A034-5D74BFE053E1}" xr6:coauthVersionLast="47" xr6:coauthVersionMax="47" xr10:uidLastSave="{00000000-0000-0000-0000-000000000000}"/>
  <bookViews>
    <workbookView xWindow="10812" yWindow="96" windowWidth="12216" windowHeight="1309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7" i="1" s="1"/>
  <c r="C11" i="1"/>
  <c r="C7" i="1"/>
  <c r="C13" i="1" s="1"/>
</calcChain>
</file>

<file path=xl/sharedStrings.xml><?xml version="1.0" encoding="utf-8"?>
<sst xmlns="http://schemas.openxmlformats.org/spreadsheetml/2006/main" count="22" uniqueCount="21">
  <si>
    <t>Astronaut EVA Hours / Year</t>
  </si>
  <si>
    <t>Astronaut Amortized Cost / Hour</t>
  </si>
  <si>
    <t>Assumed % inspection</t>
  </si>
  <si>
    <t>Inspection cost / year</t>
  </si>
  <si>
    <t>Number of astronauts / EVA</t>
  </si>
  <si>
    <t>Assumed annual value of ISS experiments per year</t>
  </si>
  <si>
    <t>Assumed lost time % / year</t>
  </si>
  <si>
    <t>Value lost per year</t>
  </si>
  <si>
    <t>Expected Platform Cost</t>
  </si>
  <si>
    <t>Factor</t>
  </si>
  <si>
    <t>Value</t>
  </si>
  <si>
    <t>Notes</t>
  </si>
  <si>
    <t>From NASA documentation</t>
  </si>
  <si>
    <t>Derived from NASA documentation</t>
  </si>
  <si>
    <t>Average</t>
  </si>
  <si>
    <t>Assumed</t>
  </si>
  <si>
    <t>Payback period</t>
  </si>
  <si>
    <t>We expect to be able to reach 1/2 the cost of satellite servicing hardware</t>
  </si>
  <si>
    <t>Total cost to NASA per year (total potential revenue for Ark Robotics / year)</t>
  </si>
  <si>
    <t>Years</t>
  </si>
  <si>
    <t>Derived from NASA research budget and other grants. Includes all NSF and other grants dedicated to ISS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</si>
</sst>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abSelected="1" zoomScale="74" workbookViewId="0">
      <selection activeCell="G24" sqref="G24"/>
    </sheetView>
  </sheetViews>
  <sheetFormatPr defaultRowHeight="14.4" x14ac:dyDescent="0.3"/>
  <cols>
    <col min="1" max="1" width="8.88671875" style="1"/>
    <col min="2" max="2" width="42.5546875" style="7" customWidth="1"/>
    <col min="3" max="3" width="15.5546875" style="8" customWidth="1"/>
    <col min="4" max="4" width="36.109375" style="7" customWidth="1"/>
    <col min="5" max="16384" width="8.88671875" style="1"/>
  </cols>
  <sheetData>
    <row r="2" spans="2:4" x14ac:dyDescent="0.3">
      <c r="B2" s="2" t="s">
        <v>9</v>
      </c>
      <c r="C2" s="3" t="s">
        <v>10</v>
      </c>
      <c r="D2" s="2" t="s">
        <v>11</v>
      </c>
    </row>
    <row r="3" spans="2:4" x14ac:dyDescent="0.3">
      <c r="B3" s="4" t="s">
        <v>0</v>
      </c>
      <c r="C3" s="5">
        <v>140</v>
      </c>
      <c r="D3" s="4" t="s">
        <v>12</v>
      </c>
    </row>
    <row r="4" spans="2:4" x14ac:dyDescent="0.3">
      <c r="B4" s="4" t="s">
        <v>1</v>
      </c>
      <c r="C4" s="6">
        <v>100000</v>
      </c>
      <c r="D4" s="4" t="s">
        <v>13</v>
      </c>
    </row>
    <row r="5" spans="2:4" x14ac:dyDescent="0.3">
      <c r="B5" s="4" t="s">
        <v>4</v>
      </c>
      <c r="C5" s="5">
        <v>2</v>
      </c>
      <c r="D5" s="4" t="s">
        <v>14</v>
      </c>
    </row>
    <row r="6" spans="2:4" x14ac:dyDescent="0.3">
      <c r="B6" s="4" t="s">
        <v>2</v>
      </c>
      <c r="C6" s="5">
        <v>0.7</v>
      </c>
      <c r="D6" s="4" t="s">
        <v>15</v>
      </c>
    </row>
    <row r="7" spans="2:4" x14ac:dyDescent="0.3">
      <c r="B7" s="4" t="s">
        <v>3</v>
      </c>
      <c r="C7" s="6">
        <f>C3*C4*C6*C5</f>
        <v>19600000</v>
      </c>
      <c r="D7" s="4"/>
    </row>
    <row r="9" spans="2:4" ht="43.2" x14ac:dyDescent="0.3">
      <c r="B9" s="4" t="s">
        <v>5</v>
      </c>
      <c r="C9" s="6">
        <v>200000000</v>
      </c>
      <c r="D9" s="4" t="s">
        <v>20</v>
      </c>
    </row>
    <row r="10" spans="2:4" x14ac:dyDescent="0.3">
      <c r="B10" s="4" t="s">
        <v>6</v>
      </c>
      <c r="C10" s="5">
        <v>0.1</v>
      </c>
      <c r="D10" s="4" t="s">
        <v>15</v>
      </c>
    </row>
    <row r="11" spans="2:4" x14ac:dyDescent="0.3">
      <c r="B11" s="4" t="s">
        <v>7</v>
      </c>
      <c r="C11" s="6">
        <f>C9*C10</f>
        <v>20000000</v>
      </c>
      <c r="D11" s="4"/>
    </row>
    <row r="13" spans="2:4" ht="28.8" x14ac:dyDescent="0.3">
      <c r="B13" s="4" t="s">
        <v>18</v>
      </c>
      <c r="C13" s="6">
        <f>C7+C11</f>
        <v>39600000</v>
      </c>
      <c r="D13" s="4"/>
    </row>
    <row r="15" spans="2:4" ht="28.8" x14ac:dyDescent="0.3">
      <c r="B15" s="4" t="s">
        <v>8</v>
      </c>
      <c r="C15" s="6">
        <f>100000000*0.5</f>
        <v>50000000</v>
      </c>
      <c r="D15" s="4" t="s">
        <v>17</v>
      </c>
    </row>
    <row r="17" spans="2:4" x14ac:dyDescent="0.3">
      <c r="B17" s="4" t="s">
        <v>16</v>
      </c>
      <c r="C17" s="5">
        <f>C15/C13</f>
        <v>1.2626262626262625</v>
      </c>
      <c r="D1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Gidon Gautel</dc:creator>
  <cp:lastModifiedBy>Gidon Gautel</cp:lastModifiedBy>
  <dcterms:created xsi:type="dcterms:W3CDTF">2015-06-05T18:19:34Z</dcterms:created>
  <dcterms:modified xsi:type="dcterms:W3CDTF">2025-12-11T04:36:04Z</dcterms:modified>
</cp:coreProperties>
</file>